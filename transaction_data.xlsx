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0fad86cea2e7b162/Analytics/Python Projects/QuantTerminal/Portfolio Tracker/"/>
    </mc:Choice>
  </mc:AlternateContent>
  <xr:revisionPtr revIDLastSave="958" documentId="11_F25DC773A252ABDACC104879091E76CE5ADE58E8" xr6:coauthVersionLast="47" xr6:coauthVersionMax="47" xr10:uidLastSave="{BFFA1F08-D58C-4312-B0FF-C4B8E71B82F0}"/>
  <bookViews>
    <workbookView xWindow="28680" yWindow="-105" windowWidth="29040" windowHeight="15720" activeTab="1" xr2:uid="{00000000-000D-0000-FFFF-FFFF00000000}"/>
  </bookViews>
  <sheets>
    <sheet name="Transactions" sheetId="2" r:id="rId1"/>
    <sheet name="Arbitrage Transac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ED77" i="2" l="1" a="1"/>
  <c r="XED7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<sst xmlns="http://schemas.openxmlformats.org/spreadsheetml/2006/main" count="256" uniqueCount="47">
  <si>
    <t>Date</t>
  </si>
  <si>
    <t>Ticker</t>
  </si>
  <si>
    <t>Action</t>
  </si>
  <si>
    <t>RKT</t>
  </si>
  <si>
    <t>SGOV</t>
  </si>
  <si>
    <t>TSM</t>
  </si>
  <si>
    <t>ASST</t>
  </si>
  <si>
    <t>SMCI</t>
  </si>
  <si>
    <t>SELL</t>
  </si>
  <si>
    <t>Proceeds</t>
  </si>
  <si>
    <t>Quantity</t>
  </si>
  <si>
    <t>CostBasis</t>
  </si>
  <si>
    <t>DIVIDEND</t>
  </si>
  <si>
    <t>ORCL</t>
  </si>
  <si>
    <t>DELL</t>
  </si>
  <si>
    <t>GOOGL</t>
  </si>
  <si>
    <t>UNH</t>
  </si>
  <si>
    <t>ELV</t>
  </si>
  <si>
    <t>META</t>
  </si>
  <si>
    <t>QCOM</t>
  </si>
  <si>
    <t>AMD</t>
  </si>
  <si>
    <t>MARA</t>
  </si>
  <si>
    <t>MSFT</t>
  </si>
  <si>
    <t>TIGR</t>
  </si>
  <si>
    <t>AVGO</t>
  </si>
  <si>
    <t>NVDA</t>
  </si>
  <si>
    <t>Margin</t>
  </si>
  <si>
    <t>Deposit</t>
  </si>
  <si>
    <t>DEPOSIT</t>
  </si>
  <si>
    <t>FEES &amp; EXPENSES</t>
  </si>
  <si>
    <t>WITHDRAWAL</t>
  </si>
  <si>
    <t>MOH</t>
  </si>
  <si>
    <t>CRM</t>
  </si>
  <si>
    <t>NBIS</t>
  </si>
  <si>
    <t>V</t>
  </si>
  <si>
    <t>CNC</t>
  </si>
  <si>
    <t>VICR</t>
  </si>
  <si>
    <t>SNAP</t>
  </si>
  <si>
    <t>NFLX</t>
  </si>
  <si>
    <t>ALAB</t>
  </si>
  <si>
    <t>IAG</t>
  </si>
  <si>
    <t>SE</t>
  </si>
  <si>
    <t>CRDO</t>
  </si>
  <si>
    <t>ADBE</t>
  </si>
  <si>
    <t>ANET</t>
  </si>
  <si>
    <t>SVM</t>
  </si>
  <si>
    <t>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</si>
</sst>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9">
    <dxf>
      <numFmt numFmtId="19" formatCode="m/d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8218C-BE01-41A5-8D0B-3AEFEB3E8E85}" name="Table1" displayName="Table1" ref="A1:F116" totalsRowShown="0" headerRowDxfId="8" dataDxfId="7">
  <autoFilter ref="A1:F116" xr:uid="{D1B8218C-BE01-41A5-8D0B-3AEFEB3E8E85}"/>
  <tableColumns count="6">
    <tableColumn id="1" xr3:uid="{3FA1E293-9D4E-4989-99B4-7148338193FB}" name="Date" dataDxfId="6"/>
    <tableColumn id="2" xr3:uid="{588D2312-B725-42C9-9598-FBFB510EFEF3}" name="Ticker" dataDxfId="5"/>
    <tableColumn id="3" xr3:uid="{90D514BE-32E2-4DF1-A763-72D3C5F22E38}" name="Action" dataDxfId="4"/>
    <tableColumn id="4" xr3:uid="{C8CA24DD-C59D-4ABD-B5F1-B17AB6244D69}" name="Quantity" dataDxfId="3"/>
    <tableColumn id="5" xr3:uid="{919A2FC6-ABCD-4EDE-ACBD-3C5558EA5530}" name="Proceeds" dataDxfId="2"/>
    <tableColumn id="6" xr3:uid="{A0528285-DCC0-48ED-93D9-9ED6BDB5E5EC}" name="CostBasis" dataDxfId="1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76F30-E960-4167-9B7F-5C6294B671C8}" name="Table2" displayName="Table2" ref="A1:F8" totalsRowShown="0">
  <autoFilter ref="A1:F8" xr:uid="{BBA76F30-E960-4167-9B7F-5C6294B671C8}"/>
  <tableColumns count="6">
    <tableColumn id="1" xr3:uid="{95C6EB23-836F-4447-8445-C89AF5A8B0AA}" name="Date" dataDxfId="0"/>
    <tableColumn id="2" xr3:uid="{26FB7C75-ED15-4899-830F-47A5F9B65F84}" name="Ticker"/>
    <tableColumn id="3" xr3:uid="{424A52BE-51CD-4344-97E3-782BFDC3CF79}" name="Action"/>
    <tableColumn id="4" xr3:uid="{EE83E62C-FD16-433E-9B91-C59A2A01A819}" name="Quantity"/>
    <tableColumn id="5" xr3:uid="{08773CB0-3520-4993-BA95-B1AD69715092}" name="Proceeds"/>
    <tableColumn id="6" xr3:uid="{414AC657-6074-4968-8218-3B740636CD58}" name="CostBasi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65B8-F336-4254-8B26-A05153CC3F36}">
  <dimension ref="A1:XFD116"/>
  <sheetViews>
    <sheetView workbookViewId="0">
      <selection activeCell="D1" sqref="D1"/>
    </sheetView>
  </sheetViews>
  <sheetFormatPr defaultRowHeight="14.5" x14ac:dyDescent="0.35"/>
  <cols>
    <col min="1" max="1" width="9.7265625" bestFit="1" customWidth="1"/>
    <col min="3" max="3" width="16.453125" bestFit="1" customWidth="1"/>
    <col min="4" max="4" width="10.26953125" customWidth="1"/>
    <col min="5" max="5" width="10.6328125" customWidth="1"/>
    <col min="6" max="6" width="10.81640625" customWidth="1"/>
    <col min="9" max="9" width="9.4531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10</v>
      </c>
      <c r="E1" s="2" t="s">
        <v>9</v>
      </c>
      <c r="F1" s="2" t="s">
        <v>11</v>
      </c>
    </row>
    <row r="2" spans="1:6" x14ac:dyDescent="0.35">
      <c r="A2" s="1">
        <v>46030</v>
      </c>
      <c r="B2" t="s">
        <v>5</v>
      </c>
      <c r="C2" t="s">
        <v>30</v>
      </c>
      <c r="D2">
        <v>0</v>
      </c>
      <c r="E2">
        <v>0.17</v>
      </c>
      <c r="F2">
        <v>0</v>
      </c>
    </row>
    <row r="3" spans="1:6" x14ac:dyDescent="0.35">
      <c r="A3" s="1">
        <v>46030</v>
      </c>
      <c r="B3" t="s">
        <v>5</v>
      </c>
      <c r="C3" t="s">
        <v>12</v>
      </c>
      <c r="D3">
        <v>0</v>
      </c>
      <c r="E3">
        <v>0.8</v>
      </c>
      <c r="F3">
        <v>0</v>
      </c>
    </row>
    <row r="4" spans="1:6" x14ac:dyDescent="0.35">
      <c r="A4" s="1">
        <v>46031</v>
      </c>
      <c r="B4" t="s">
        <v>3</v>
      </c>
      <c r="C4" t="s">
        <v>8</v>
      </c>
      <c r="D4">
        <v>1</v>
      </c>
      <c r="E4">
        <v>434.34</v>
      </c>
      <c r="F4">
        <v>209.66</v>
      </c>
    </row>
    <row r="5" spans="1:6" x14ac:dyDescent="0.35">
      <c r="A5" s="1">
        <v>46038</v>
      </c>
      <c r="B5" t="s">
        <v>3</v>
      </c>
      <c r="C5" t="s">
        <v>8</v>
      </c>
      <c r="D5">
        <v>1</v>
      </c>
      <c r="E5">
        <v>448.34</v>
      </c>
      <c r="F5">
        <v>195.66</v>
      </c>
    </row>
    <row r="6" spans="1:6" x14ac:dyDescent="0.35">
      <c r="A6" s="1">
        <v>46045</v>
      </c>
      <c r="B6" t="s">
        <v>13</v>
      </c>
      <c r="C6" t="s">
        <v>12</v>
      </c>
      <c r="D6">
        <v>0</v>
      </c>
      <c r="E6">
        <v>1</v>
      </c>
      <c r="F6">
        <v>0</v>
      </c>
    </row>
    <row r="7" spans="1:6" x14ac:dyDescent="0.35">
      <c r="A7" s="1">
        <v>46052</v>
      </c>
      <c r="B7" t="s">
        <v>4</v>
      </c>
      <c r="C7" t="s">
        <v>8</v>
      </c>
      <c r="D7">
        <v>1</v>
      </c>
      <c r="E7">
        <v>100.67</v>
      </c>
      <c r="F7">
        <v>100.53</v>
      </c>
    </row>
    <row r="8" spans="1:6" x14ac:dyDescent="0.35">
      <c r="A8" s="1">
        <v>46052</v>
      </c>
      <c r="B8" t="s">
        <v>14</v>
      </c>
      <c r="C8" t="s">
        <v>12</v>
      </c>
      <c r="D8">
        <v>0</v>
      </c>
      <c r="E8">
        <v>3.68</v>
      </c>
      <c r="F8">
        <v>0</v>
      </c>
    </row>
    <row r="9" spans="1:6" x14ac:dyDescent="0.35">
      <c r="A9" s="1">
        <v>46058</v>
      </c>
      <c r="B9" t="s">
        <v>5</v>
      </c>
      <c r="C9" t="s">
        <v>8</v>
      </c>
      <c r="D9">
        <v>1</v>
      </c>
      <c r="E9">
        <v>327.13</v>
      </c>
      <c r="F9">
        <v>281.63</v>
      </c>
    </row>
    <row r="10" spans="1:6" x14ac:dyDescent="0.35">
      <c r="A10" s="1">
        <v>46058</v>
      </c>
      <c r="B10" t="s">
        <v>4</v>
      </c>
      <c r="C10" t="s">
        <v>12</v>
      </c>
      <c r="D10">
        <v>0</v>
      </c>
      <c r="E10">
        <v>2.78</v>
      </c>
      <c r="F10">
        <v>0</v>
      </c>
    </row>
    <row r="11" spans="1:6" x14ac:dyDescent="0.35">
      <c r="A11" s="1">
        <v>46062</v>
      </c>
      <c r="B11" t="s">
        <v>27</v>
      </c>
      <c r="C11" t="s">
        <v>28</v>
      </c>
      <c r="D11">
        <v>0</v>
      </c>
      <c r="E11">
        <v>15</v>
      </c>
      <c r="F11">
        <v>0</v>
      </c>
    </row>
    <row r="12" spans="1:6" x14ac:dyDescent="0.35">
      <c r="A12" s="1">
        <v>46066</v>
      </c>
      <c r="B12" t="s">
        <v>4</v>
      </c>
      <c r="C12" t="s">
        <v>8</v>
      </c>
      <c r="D12">
        <v>1</v>
      </c>
      <c r="E12">
        <v>100.51</v>
      </c>
      <c r="F12">
        <v>100.47</v>
      </c>
    </row>
    <row r="13" spans="1:6" x14ac:dyDescent="0.35">
      <c r="A13" s="1">
        <v>46073</v>
      </c>
      <c r="B13" t="s">
        <v>4</v>
      </c>
      <c r="C13" t="s">
        <v>8</v>
      </c>
      <c r="D13">
        <v>2</v>
      </c>
      <c r="E13">
        <v>201.15</v>
      </c>
      <c r="F13">
        <v>200.95</v>
      </c>
    </row>
    <row r="14" spans="1:6" x14ac:dyDescent="0.35">
      <c r="A14" s="1">
        <v>46073</v>
      </c>
      <c r="B14" t="s">
        <v>4</v>
      </c>
      <c r="C14" t="s">
        <v>8</v>
      </c>
      <c r="D14">
        <v>1</v>
      </c>
      <c r="E14">
        <v>100.57</v>
      </c>
      <c r="F14">
        <v>100.44</v>
      </c>
    </row>
    <row r="15" spans="1:6" x14ac:dyDescent="0.35">
      <c r="A15" s="1">
        <v>46079</v>
      </c>
      <c r="B15" t="s">
        <v>4</v>
      </c>
      <c r="C15" t="s">
        <v>8</v>
      </c>
      <c r="D15">
        <v>3</v>
      </c>
      <c r="E15">
        <v>301.83</v>
      </c>
      <c r="F15">
        <v>301.27999999999997</v>
      </c>
    </row>
    <row r="16" spans="1:6" x14ac:dyDescent="0.35">
      <c r="A16" s="1">
        <v>46079</v>
      </c>
      <c r="B16" t="s">
        <v>4</v>
      </c>
      <c r="C16" t="s">
        <v>8</v>
      </c>
      <c r="D16">
        <v>1</v>
      </c>
      <c r="E16">
        <v>100.61</v>
      </c>
      <c r="F16">
        <v>100.41</v>
      </c>
    </row>
    <row r="17" spans="1:6" x14ac:dyDescent="0.35">
      <c r="A17" s="1">
        <v>46079</v>
      </c>
      <c r="B17" t="s">
        <v>26</v>
      </c>
      <c r="C17" t="s">
        <v>29</v>
      </c>
      <c r="D17">
        <v>0</v>
      </c>
      <c r="E17">
        <v>0</v>
      </c>
      <c r="F17">
        <v>-0.25</v>
      </c>
    </row>
    <row r="18" spans="1:6" x14ac:dyDescent="0.35">
      <c r="A18" s="1">
        <v>46086</v>
      </c>
      <c r="B18" t="s">
        <v>4</v>
      </c>
      <c r="C18" t="s">
        <v>12</v>
      </c>
      <c r="D18">
        <v>0</v>
      </c>
      <c r="E18">
        <v>1.0900000000000001</v>
      </c>
      <c r="F18">
        <v>0</v>
      </c>
    </row>
    <row r="19" spans="1:6" x14ac:dyDescent="0.35">
      <c r="A19" s="1">
        <v>46092</v>
      </c>
      <c r="B19" t="s">
        <v>6</v>
      </c>
      <c r="C19" t="s">
        <v>8</v>
      </c>
      <c r="D19">
        <v>5</v>
      </c>
      <c r="E19">
        <v>45.4</v>
      </c>
      <c r="F19">
        <v>110.82</v>
      </c>
    </row>
    <row r="20" spans="1:6" x14ac:dyDescent="0.35">
      <c r="A20" s="1">
        <v>46097</v>
      </c>
      <c r="B20" t="s">
        <v>15</v>
      </c>
      <c r="C20" t="s">
        <v>12</v>
      </c>
      <c r="D20">
        <v>0</v>
      </c>
      <c r="E20">
        <v>0.34</v>
      </c>
      <c r="F20">
        <v>0</v>
      </c>
    </row>
    <row r="21" spans="1:6" x14ac:dyDescent="0.35">
      <c r="A21" s="1">
        <v>46098</v>
      </c>
      <c r="B21" t="s">
        <v>16</v>
      </c>
      <c r="C21" t="s">
        <v>12</v>
      </c>
      <c r="D21">
        <v>0</v>
      </c>
      <c r="E21">
        <v>6.63</v>
      </c>
      <c r="F21">
        <v>0</v>
      </c>
    </row>
    <row r="22" spans="1:6" x14ac:dyDescent="0.35">
      <c r="A22" s="1">
        <v>46104</v>
      </c>
      <c r="B22" t="s">
        <v>7</v>
      </c>
      <c r="C22" t="s">
        <v>8</v>
      </c>
      <c r="D22">
        <v>19</v>
      </c>
      <c r="E22">
        <v>387.03</v>
      </c>
      <c r="F22">
        <v>629.30999999999995</v>
      </c>
    </row>
    <row r="23" spans="1:6" x14ac:dyDescent="0.35">
      <c r="A23" s="1">
        <v>46104</v>
      </c>
      <c r="B23" t="s">
        <v>7</v>
      </c>
      <c r="C23" t="s">
        <v>8</v>
      </c>
      <c r="D23">
        <v>15</v>
      </c>
      <c r="E23">
        <v>304.27999999999997</v>
      </c>
      <c r="F23">
        <v>767.45</v>
      </c>
    </row>
    <row r="24" spans="1:6" x14ac:dyDescent="0.35">
      <c r="A24" s="1">
        <v>46106</v>
      </c>
      <c r="B24" t="s">
        <v>17</v>
      </c>
      <c r="C24" t="s">
        <v>12</v>
      </c>
      <c r="D24">
        <v>0</v>
      </c>
      <c r="E24">
        <v>1.72</v>
      </c>
      <c r="F24">
        <v>0</v>
      </c>
    </row>
    <row r="25" spans="1:6" x14ac:dyDescent="0.35">
      <c r="A25" s="1">
        <v>46107</v>
      </c>
      <c r="B25" t="s">
        <v>18</v>
      </c>
      <c r="C25" t="s">
        <v>12</v>
      </c>
      <c r="D25">
        <v>0</v>
      </c>
      <c r="E25">
        <v>0.86</v>
      </c>
      <c r="F25">
        <v>0</v>
      </c>
    </row>
    <row r="26" spans="1:6" x14ac:dyDescent="0.35">
      <c r="A26" s="1">
        <v>46107</v>
      </c>
      <c r="B26" t="s">
        <v>19</v>
      </c>
      <c r="C26" t="s">
        <v>12</v>
      </c>
      <c r="D26">
        <v>0</v>
      </c>
      <c r="E26">
        <v>4.45</v>
      </c>
      <c r="F26">
        <v>0</v>
      </c>
    </row>
    <row r="27" spans="1:6" x14ac:dyDescent="0.35">
      <c r="A27" s="1">
        <v>46111</v>
      </c>
      <c r="B27" t="s">
        <v>20</v>
      </c>
      <c r="C27" t="s">
        <v>8</v>
      </c>
      <c r="D27">
        <v>1</v>
      </c>
      <c r="E27">
        <v>196.55</v>
      </c>
      <c r="F27">
        <v>196.55</v>
      </c>
    </row>
    <row r="28" spans="1:6" x14ac:dyDescent="0.35">
      <c r="A28" s="1">
        <v>46111</v>
      </c>
      <c r="B28" t="s">
        <v>17</v>
      </c>
      <c r="C28" t="s">
        <v>8</v>
      </c>
      <c r="D28">
        <v>1</v>
      </c>
      <c r="E28">
        <v>285.07</v>
      </c>
      <c r="F28">
        <v>277.42</v>
      </c>
    </row>
    <row r="29" spans="1:6" x14ac:dyDescent="0.35">
      <c r="A29" s="1">
        <v>46111</v>
      </c>
      <c r="B29" t="s">
        <v>21</v>
      </c>
      <c r="C29" t="s">
        <v>8</v>
      </c>
      <c r="D29">
        <v>40</v>
      </c>
      <c r="E29">
        <v>322.58999999999997</v>
      </c>
      <c r="F29">
        <v>775.37</v>
      </c>
    </row>
    <row r="30" spans="1:6" x14ac:dyDescent="0.35">
      <c r="A30" s="1">
        <v>46111</v>
      </c>
      <c r="B30" t="s">
        <v>22</v>
      </c>
      <c r="C30" t="s">
        <v>8</v>
      </c>
      <c r="D30">
        <v>0.54669999999999996</v>
      </c>
      <c r="E30">
        <v>196.25</v>
      </c>
      <c r="F30">
        <v>199.99</v>
      </c>
    </row>
    <row r="31" spans="1:6" x14ac:dyDescent="0.35">
      <c r="A31" s="1">
        <v>46111</v>
      </c>
      <c r="B31" t="s">
        <v>19</v>
      </c>
      <c r="C31" t="s">
        <v>8</v>
      </c>
      <c r="D31">
        <v>5</v>
      </c>
      <c r="E31">
        <v>639.45000000000005</v>
      </c>
      <c r="F31">
        <v>727.93</v>
      </c>
    </row>
    <row r="32" spans="1:6" x14ac:dyDescent="0.35">
      <c r="A32" s="1">
        <v>46111</v>
      </c>
      <c r="B32" t="s">
        <v>26</v>
      </c>
      <c r="C32" t="s">
        <v>29</v>
      </c>
      <c r="D32">
        <v>0</v>
      </c>
      <c r="E32">
        <v>0</v>
      </c>
      <c r="F32">
        <v>-0.23</v>
      </c>
    </row>
    <row r="33" spans="1:6" x14ac:dyDescent="0.35">
      <c r="A33" s="1">
        <v>46111</v>
      </c>
      <c r="B33" t="s">
        <v>27</v>
      </c>
      <c r="C33" t="s">
        <v>28</v>
      </c>
      <c r="D33">
        <v>0</v>
      </c>
      <c r="E33">
        <v>1500</v>
      </c>
      <c r="F33">
        <v>0</v>
      </c>
    </row>
    <row r="34" spans="1:6" x14ac:dyDescent="0.35">
      <c r="A34" s="1">
        <v>46112</v>
      </c>
      <c r="B34" t="s">
        <v>23</v>
      </c>
      <c r="C34" t="s">
        <v>8</v>
      </c>
      <c r="D34">
        <v>2</v>
      </c>
      <c r="E34">
        <v>0.67</v>
      </c>
      <c r="F34">
        <v>501.32</v>
      </c>
    </row>
    <row r="35" spans="1:6" x14ac:dyDescent="0.35">
      <c r="A35" s="1">
        <v>46112</v>
      </c>
      <c r="B35" t="s">
        <v>24</v>
      </c>
      <c r="C35" t="s">
        <v>12</v>
      </c>
      <c r="D35">
        <v>0</v>
      </c>
      <c r="E35">
        <v>0.56999999999999995</v>
      </c>
      <c r="F35">
        <v>0</v>
      </c>
    </row>
    <row r="36" spans="1:6" x14ac:dyDescent="0.35">
      <c r="A36" s="1">
        <v>46113</v>
      </c>
      <c r="B36" t="s">
        <v>25</v>
      </c>
      <c r="C36" t="s">
        <v>12</v>
      </c>
      <c r="D36">
        <v>0</v>
      </c>
      <c r="E36">
        <v>0.02</v>
      </c>
      <c r="F36">
        <v>0</v>
      </c>
    </row>
    <row r="37" spans="1:6" x14ac:dyDescent="0.35">
      <c r="A37" s="1">
        <v>46119</v>
      </c>
      <c r="B37" t="s">
        <v>4</v>
      </c>
      <c r="C37" t="s">
        <v>12</v>
      </c>
      <c r="D37">
        <v>0</v>
      </c>
      <c r="E37">
        <v>1.17</v>
      </c>
      <c r="F37">
        <v>0</v>
      </c>
    </row>
    <row r="38" spans="1:6" x14ac:dyDescent="0.35">
      <c r="A38" s="1">
        <v>46122</v>
      </c>
      <c r="B38" t="s">
        <v>4</v>
      </c>
      <c r="C38" t="s">
        <v>8</v>
      </c>
      <c r="D38">
        <v>1</v>
      </c>
      <c r="E38">
        <v>100.5</v>
      </c>
      <c r="F38">
        <v>100.41</v>
      </c>
    </row>
    <row r="39" spans="1:6" x14ac:dyDescent="0.35">
      <c r="A39" s="1">
        <v>46128</v>
      </c>
      <c r="B39" t="s">
        <v>4</v>
      </c>
      <c r="C39" t="s">
        <v>8</v>
      </c>
      <c r="D39">
        <v>5</v>
      </c>
      <c r="E39">
        <v>1005.29</v>
      </c>
      <c r="F39">
        <v>1004.66</v>
      </c>
    </row>
    <row r="40" spans="1:6" x14ac:dyDescent="0.35">
      <c r="A40" s="1">
        <v>46129</v>
      </c>
      <c r="B40" t="s">
        <v>31</v>
      </c>
      <c r="C40" t="s">
        <v>8</v>
      </c>
      <c r="D40">
        <v>3</v>
      </c>
      <c r="E40">
        <v>446.36</v>
      </c>
      <c r="F40">
        <v>447.65</v>
      </c>
    </row>
    <row r="41" spans="1:6" x14ac:dyDescent="0.35">
      <c r="A41" s="1">
        <v>46129</v>
      </c>
      <c r="B41" t="s">
        <v>16</v>
      </c>
      <c r="C41" t="s">
        <v>8</v>
      </c>
      <c r="D41">
        <v>2</v>
      </c>
      <c r="E41">
        <v>649.45000000000005</v>
      </c>
      <c r="F41">
        <v>518.37</v>
      </c>
    </row>
    <row r="42" spans="1:6" x14ac:dyDescent="0.35">
      <c r="A42" s="1">
        <v>46129</v>
      </c>
      <c r="B42" t="s">
        <v>16</v>
      </c>
      <c r="C42" t="s">
        <v>8</v>
      </c>
      <c r="D42">
        <v>1</v>
      </c>
      <c r="E42">
        <v>324.85000000000002</v>
      </c>
      <c r="F42">
        <v>285.70999999999998</v>
      </c>
    </row>
    <row r="43" spans="1:6" x14ac:dyDescent="0.35">
      <c r="A43" s="1">
        <v>46133</v>
      </c>
      <c r="B43" t="s">
        <v>14</v>
      </c>
      <c r="C43" t="s">
        <v>8</v>
      </c>
      <c r="D43">
        <v>2</v>
      </c>
      <c r="E43">
        <v>420.81</v>
      </c>
      <c r="F43">
        <v>248.08</v>
      </c>
    </row>
    <row r="44" spans="1:6" x14ac:dyDescent="0.35">
      <c r="A44" s="1">
        <v>46135</v>
      </c>
      <c r="B44" t="s">
        <v>32</v>
      </c>
      <c r="C44" t="s">
        <v>12</v>
      </c>
      <c r="D44">
        <v>0</v>
      </c>
      <c r="E44">
        <v>0.88</v>
      </c>
      <c r="F44">
        <v>0</v>
      </c>
    </row>
    <row r="45" spans="1:6" x14ac:dyDescent="0.35">
      <c r="A45" s="1">
        <v>46136</v>
      </c>
      <c r="B45" t="s">
        <v>13</v>
      </c>
      <c r="C45" t="s">
        <v>12</v>
      </c>
      <c r="D45">
        <v>0</v>
      </c>
      <c r="E45">
        <v>2</v>
      </c>
      <c r="F45">
        <v>0</v>
      </c>
    </row>
    <row r="46" spans="1:6" x14ac:dyDescent="0.35">
      <c r="A46" s="1">
        <v>46142</v>
      </c>
      <c r="B46" t="s">
        <v>23</v>
      </c>
      <c r="C46" t="s">
        <v>8</v>
      </c>
      <c r="D46">
        <v>40</v>
      </c>
      <c r="E46">
        <v>260.98</v>
      </c>
      <c r="F46">
        <v>299.18</v>
      </c>
    </row>
    <row r="47" spans="1:6" x14ac:dyDescent="0.35">
      <c r="A47" s="1">
        <v>46142</v>
      </c>
      <c r="B47" t="s">
        <v>23</v>
      </c>
      <c r="C47" t="s">
        <v>8</v>
      </c>
      <c r="D47">
        <v>30</v>
      </c>
      <c r="E47">
        <v>195.89</v>
      </c>
      <c r="F47">
        <v>272.83</v>
      </c>
    </row>
    <row r="48" spans="1:6" x14ac:dyDescent="0.35">
      <c r="A48" s="1">
        <v>46143</v>
      </c>
      <c r="B48" t="s">
        <v>14</v>
      </c>
      <c r="C48" t="s">
        <v>12</v>
      </c>
      <c r="D48">
        <v>0</v>
      </c>
      <c r="E48">
        <v>4.41</v>
      </c>
      <c r="F48">
        <v>0</v>
      </c>
    </row>
    <row r="49" spans="1:6" x14ac:dyDescent="0.35">
      <c r="A49" s="1">
        <v>46143</v>
      </c>
      <c r="B49" t="s">
        <v>27</v>
      </c>
      <c r="C49" t="s">
        <v>28</v>
      </c>
      <c r="D49">
        <v>0</v>
      </c>
      <c r="E49">
        <v>300</v>
      </c>
      <c r="F49">
        <v>0</v>
      </c>
    </row>
    <row r="50" spans="1:6" x14ac:dyDescent="0.35">
      <c r="A50" s="1">
        <v>46146</v>
      </c>
      <c r="B50" t="s">
        <v>33</v>
      </c>
      <c r="C50" t="s">
        <v>8</v>
      </c>
      <c r="D50">
        <v>1</v>
      </c>
      <c r="E50">
        <v>175.75</v>
      </c>
      <c r="F50">
        <v>105.75</v>
      </c>
    </row>
    <row r="51" spans="1:6" x14ac:dyDescent="0.35">
      <c r="A51" s="1">
        <v>46147</v>
      </c>
      <c r="B51" t="s">
        <v>20</v>
      </c>
      <c r="C51" t="s">
        <v>8</v>
      </c>
      <c r="D51">
        <v>2</v>
      </c>
      <c r="E51">
        <v>750.98</v>
      </c>
      <c r="F51">
        <v>353.25</v>
      </c>
    </row>
    <row r="52" spans="1:6" x14ac:dyDescent="0.35">
      <c r="A52" s="1">
        <v>46147</v>
      </c>
      <c r="B52" t="s">
        <v>15</v>
      </c>
      <c r="C52" t="s">
        <v>8</v>
      </c>
      <c r="D52">
        <v>1.5992999999999999</v>
      </c>
      <c r="E52">
        <v>622.21</v>
      </c>
      <c r="F52">
        <v>242.72</v>
      </c>
    </row>
    <row r="53" spans="1:6" x14ac:dyDescent="0.35">
      <c r="A53" s="1">
        <v>46148</v>
      </c>
      <c r="B53" t="s">
        <v>32</v>
      </c>
      <c r="C53" t="s">
        <v>8</v>
      </c>
      <c r="D53">
        <v>4</v>
      </c>
      <c r="E53">
        <v>729.1</v>
      </c>
      <c r="F53">
        <v>711.93</v>
      </c>
    </row>
    <row r="54" spans="1:6" x14ac:dyDescent="0.35">
      <c r="A54" s="1">
        <v>46148</v>
      </c>
      <c r="B54" t="s">
        <v>34</v>
      </c>
      <c r="C54" t="s">
        <v>8</v>
      </c>
      <c r="D54">
        <v>1.3433999999999999</v>
      </c>
      <c r="E54">
        <v>433.01</v>
      </c>
      <c r="F54">
        <v>400</v>
      </c>
    </row>
    <row r="55" spans="1:6" x14ac:dyDescent="0.35">
      <c r="A55" s="1">
        <v>46148</v>
      </c>
      <c r="B55" t="s">
        <v>4</v>
      </c>
      <c r="C55" t="s">
        <v>12</v>
      </c>
      <c r="D55">
        <v>0</v>
      </c>
      <c r="E55">
        <v>5.0599999999999996</v>
      </c>
      <c r="F55">
        <v>0</v>
      </c>
    </row>
    <row r="56" spans="1:6" x14ac:dyDescent="0.35">
      <c r="A56" s="1">
        <v>46149</v>
      </c>
      <c r="B56" t="s">
        <v>35</v>
      </c>
      <c r="C56" t="s">
        <v>8</v>
      </c>
      <c r="D56">
        <v>5</v>
      </c>
      <c r="E56">
        <v>276.69</v>
      </c>
      <c r="F56">
        <v>145.83000000000001</v>
      </c>
    </row>
    <row r="57" spans="1:6" x14ac:dyDescent="0.35">
      <c r="A57" s="1">
        <v>46153</v>
      </c>
      <c r="B57" t="s">
        <v>21</v>
      </c>
      <c r="C57" t="s">
        <v>8</v>
      </c>
      <c r="D57">
        <v>10</v>
      </c>
      <c r="E57">
        <v>136.83000000000001</v>
      </c>
      <c r="F57">
        <v>173.73</v>
      </c>
    </row>
    <row r="58" spans="1:6" x14ac:dyDescent="0.35">
      <c r="A58" s="1">
        <v>46154</v>
      </c>
      <c r="B58" t="s">
        <v>35</v>
      </c>
      <c r="C58" t="s">
        <v>8</v>
      </c>
      <c r="D58">
        <v>5</v>
      </c>
      <c r="E58">
        <v>282.27</v>
      </c>
      <c r="F58">
        <v>145.82</v>
      </c>
    </row>
    <row r="59" spans="1:6" x14ac:dyDescent="0.35">
      <c r="A59" s="1">
        <v>46154</v>
      </c>
      <c r="B59" t="s">
        <v>36</v>
      </c>
      <c r="C59" t="s">
        <v>8</v>
      </c>
      <c r="D59">
        <v>1</v>
      </c>
      <c r="E59">
        <v>313.08999999999997</v>
      </c>
      <c r="F59">
        <v>141.65</v>
      </c>
    </row>
    <row r="60" spans="1:6" x14ac:dyDescent="0.35">
      <c r="A60" s="1">
        <v>46156</v>
      </c>
      <c r="B60" t="s">
        <v>33</v>
      </c>
      <c r="C60" t="s">
        <v>8</v>
      </c>
      <c r="D60">
        <v>1</v>
      </c>
      <c r="E60">
        <v>229.01</v>
      </c>
      <c r="F60">
        <v>105.75</v>
      </c>
    </row>
    <row r="61" spans="1:6" x14ac:dyDescent="0.35">
      <c r="A61" s="1">
        <v>46156</v>
      </c>
      <c r="B61" t="s">
        <v>37</v>
      </c>
      <c r="C61" t="s">
        <v>8</v>
      </c>
      <c r="D61">
        <v>120</v>
      </c>
      <c r="E61">
        <v>628.78</v>
      </c>
      <c r="F61">
        <v>727.25</v>
      </c>
    </row>
    <row r="62" spans="1:6" x14ac:dyDescent="0.35">
      <c r="A62" s="1">
        <v>46160</v>
      </c>
      <c r="B62" t="s">
        <v>38</v>
      </c>
      <c r="C62" t="s">
        <v>8</v>
      </c>
      <c r="D62">
        <v>9</v>
      </c>
      <c r="E62">
        <v>807.09</v>
      </c>
      <c r="F62">
        <v>857.92</v>
      </c>
    </row>
    <row r="63" spans="1:6" x14ac:dyDescent="0.35">
      <c r="A63" s="1">
        <v>46161</v>
      </c>
      <c r="B63" t="s">
        <v>39</v>
      </c>
      <c r="C63" t="s">
        <v>8</v>
      </c>
      <c r="D63">
        <v>1</v>
      </c>
      <c r="E63">
        <v>249.03</v>
      </c>
      <c r="F63">
        <v>164.15</v>
      </c>
    </row>
    <row r="64" spans="1:6" x14ac:dyDescent="0.35">
      <c r="A64" s="1">
        <v>46161</v>
      </c>
      <c r="B64" t="s">
        <v>4</v>
      </c>
      <c r="C64" t="s">
        <v>8</v>
      </c>
      <c r="D64">
        <v>1</v>
      </c>
      <c r="E64">
        <v>100.57</v>
      </c>
      <c r="F64">
        <v>100.57</v>
      </c>
    </row>
    <row r="65" spans="1:6 16358:16384" x14ac:dyDescent="0.35">
      <c r="A65" s="1">
        <v>46162</v>
      </c>
      <c r="B65" t="s">
        <v>39</v>
      </c>
      <c r="C65" t="s">
        <v>8</v>
      </c>
      <c r="D65">
        <v>1</v>
      </c>
      <c r="E65">
        <v>268.99</v>
      </c>
      <c r="F65">
        <v>164.15</v>
      </c>
    </row>
    <row r="66" spans="1:6 16358:16384" x14ac:dyDescent="0.35">
      <c r="A66" s="1">
        <v>46162</v>
      </c>
      <c r="B66" t="s">
        <v>39</v>
      </c>
      <c r="C66" t="s">
        <v>8</v>
      </c>
      <c r="D66">
        <v>1</v>
      </c>
      <c r="E66">
        <v>284.24</v>
      </c>
      <c r="F66">
        <v>147.28</v>
      </c>
    </row>
    <row r="67" spans="1:6 16358:16384" x14ac:dyDescent="0.35">
      <c r="A67" s="1">
        <v>46163</v>
      </c>
      <c r="B67" t="s">
        <v>40</v>
      </c>
      <c r="C67" t="s">
        <v>8</v>
      </c>
      <c r="D67">
        <v>1</v>
      </c>
      <c r="E67">
        <v>354.33</v>
      </c>
      <c r="F67">
        <v>200.66</v>
      </c>
    </row>
    <row r="68" spans="1:6 16358:16384" x14ac:dyDescent="0.35">
      <c r="A68" s="1">
        <v>46163</v>
      </c>
      <c r="B68" t="s">
        <v>4</v>
      </c>
      <c r="C68" t="s">
        <v>8</v>
      </c>
      <c r="D68">
        <v>4</v>
      </c>
      <c r="E68">
        <v>402.33</v>
      </c>
      <c r="F68">
        <v>402.32</v>
      </c>
    </row>
    <row r="69" spans="1:6 16358:16384" x14ac:dyDescent="0.35">
      <c r="A69" s="1">
        <v>46164</v>
      </c>
      <c r="B69" t="s">
        <v>14</v>
      </c>
      <c r="C69" t="s">
        <v>8</v>
      </c>
      <c r="D69">
        <v>1</v>
      </c>
      <c r="E69">
        <v>286.31</v>
      </c>
      <c r="F69">
        <v>122.75</v>
      </c>
      <c r="XFD69" t="s">
        <v>41</v>
      </c>
    </row>
    <row r="70" spans="1:6 16358:16384" x14ac:dyDescent="0.35">
      <c r="A70" s="1">
        <v>46164</v>
      </c>
      <c r="B70" t="s">
        <v>21</v>
      </c>
      <c r="C70" t="s">
        <v>8</v>
      </c>
      <c r="D70">
        <v>10</v>
      </c>
      <c r="E70">
        <v>138.94999999999999</v>
      </c>
      <c r="F70">
        <v>166.18</v>
      </c>
    </row>
    <row r="71" spans="1:6 16358:16384" x14ac:dyDescent="0.35">
      <c r="A71" s="1">
        <v>46168</v>
      </c>
      <c r="B71" t="s">
        <v>14</v>
      </c>
      <c r="C71" t="s">
        <v>8</v>
      </c>
      <c r="D71">
        <v>2</v>
      </c>
      <c r="E71">
        <v>600.01</v>
      </c>
      <c r="F71">
        <v>422.06</v>
      </c>
    </row>
    <row r="72" spans="1:6 16358:16384" x14ac:dyDescent="0.35">
      <c r="A72" s="1">
        <v>46168</v>
      </c>
      <c r="B72" t="s">
        <v>21</v>
      </c>
      <c r="C72" t="s">
        <v>8</v>
      </c>
      <c r="D72">
        <v>10</v>
      </c>
      <c r="E72">
        <v>145.5</v>
      </c>
      <c r="F72">
        <v>155.80000000000001</v>
      </c>
    </row>
    <row r="73" spans="1:6 16358:16384" x14ac:dyDescent="0.35">
      <c r="A73" s="1">
        <v>46171</v>
      </c>
      <c r="B73" t="s">
        <v>42</v>
      </c>
      <c r="C73" t="s">
        <v>8</v>
      </c>
      <c r="D73">
        <v>1</v>
      </c>
      <c r="E73">
        <v>235.4</v>
      </c>
      <c r="F73">
        <v>180.8</v>
      </c>
    </row>
    <row r="74" spans="1:6 16358:16384" x14ac:dyDescent="0.35">
      <c r="A74" s="1">
        <v>46171</v>
      </c>
      <c r="B74" t="s">
        <v>14</v>
      </c>
      <c r="C74" t="s">
        <v>8</v>
      </c>
      <c r="D74">
        <v>1</v>
      </c>
      <c r="E74">
        <v>419.69</v>
      </c>
      <c r="F74">
        <v>119.08</v>
      </c>
    </row>
    <row r="75" spans="1:6 16358:16384" x14ac:dyDescent="0.35">
      <c r="A75" s="1">
        <v>46175</v>
      </c>
      <c r="B75" t="s">
        <v>21</v>
      </c>
      <c r="C75" t="s">
        <v>8</v>
      </c>
      <c r="D75">
        <v>20</v>
      </c>
      <c r="E75">
        <v>293.39</v>
      </c>
      <c r="F75">
        <v>259.33999999999997</v>
      </c>
    </row>
    <row r="76" spans="1:6 16358:16384" x14ac:dyDescent="0.35">
      <c r="A76" s="1">
        <v>46177</v>
      </c>
      <c r="B76" t="s">
        <v>33</v>
      </c>
      <c r="C76" t="s">
        <v>8</v>
      </c>
      <c r="D76">
        <v>1</v>
      </c>
      <c r="E76">
        <v>260.31</v>
      </c>
      <c r="F76">
        <v>105.74</v>
      </c>
    </row>
    <row r="77" spans="1:6 16358:16384" x14ac:dyDescent="0.35">
      <c r="A77" s="1">
        <v>46177</v>
      </c>
      <c r="B77" t="s">
        <v>13</v>
      </c>
      <c r="C77" t="s">
        <v>8</v>
      </c>
      <c r="D77">
        <v>1</v>
      </c>
      <c r="E77">
        <v>236.46</v>
      </c>
      <c r="F77">
        <v>194.38</v>
      </c>
      <c r="XED77" t="e" cm="1">
        <f t="array" ref="XED77">+XDXDR75:XED77</f>
        <v>#NAME?</v>
      </c>
    </row>
    <row r="78" spans="1:6 16358:16384" x14ac:dyDescent="0.35">
      <c r="A78" s="1">
        <v>46177</v>
      </c>
      <c r="B78" t="s">
        <v>4</v>
      </c>
      <c r="C78" t="s">
        <v>12</v>
      </c>
      <c r="D78">
        <v>0</v>
      </c>
      <c r="E78">
        <v>10.18</v>
      </c>
      <c r="F78">
        <v>0</v>
      </c>
    </row>
    <row r="79" spans="1:6 16358:16384" x14ac:dyDescent="0.35">
      <c r="A79" s="1">
        <v>46178</v>
      </c>
      <c r="B79" t="s">
        <v>42</v>
      </c>
      <c r="C79" t="s">
        <v>8</v>
      </c>
      <c r="D79">
        <v>1</v>
      </c>
      <c r="E79">
        <v>226.48</v>
      </c>
      <c r="F79">
        <v>180.8</v>
      </c>
    </row>
    <row r="80" spans="1:6 16358:16384" x14ac:dyDescent="0.35">
      <c r="A80" s="1">
        <v>46181</v>
      </c>
      <c r="B80" t="s">
        <v>39</v>
      </c>
      <c r="C80" t="s">
        <v>8</v>
      </c>
      <c r="D80">
        <v>1</v>
      </c>
      <c r="E80">
        <v>350.51</v>
      </c>
      <c r="F80">
        <v>129.94</v>
      </c>
    </row>
    <row r="81" spans="1:6" x14ac:dyDescent="0.35">
      <c r="A81" s="1">
        <v>46183</v>
      </c>
      <c r="B81" t="s">
        <v>35</v>
      </c>
      <c r="C81" t="s">
        <v>8</v>
      </c>
      <c r="D81">
        <v>10</v>
      </c>
      <c r="E81">
        <v>656.14</v>
      </c>
      <c r="F81">
        <v>275.2</v>
      </c>
    </row>
    <row r="82" spans="1:6" x14ac:dyDescent="0.35">
      <c r="A82" s="1">
        <v>46183</v>
      </c>
      <c r="B82" t="s">
        <v>42</v>
      </c>
      <c r="C82" t="s">
        <v>8</v>
      </c>
      <c r="D82">
        <v>1</v>
      </c>
      <c r="E82">
        <v>254.59</v>
      </c>
      <c r="F82">
        <v>180.8</v>
      </c>
    </row>
    <row r="83" spans="1:6" x14ac:dyDescent="0.35">
      <c r="A83" s="1">
        <v>46188</v>
      </c>
      <c r="B83" t="s">
        <v>21</v>
      </c>
      <c r="C83" t="s">
        <v>8</v>
      </c>
      <c r="D83">
        <v>50</v>
      </c>
      <c r="E83">
        <v>753.98</v>
      </c>
      <c r="F83">
        <v>470.79</v>
      </c>
    </row>
    <row r="84" spans="1:6" x14ac:dyDescent="0.35">
      <c r="A84" s="1">
        <v>46197</v>
      </c>
      <c r="B84" t="s">
        <v>4</v>
      </c>
      <c r="C84" t="s">
        <v>8</v>
      </c>
      <c r="D84">
        <v>12</v>
      </c>
      <c r="E84">
        <v>1207.42</v>
      </c>
      <c r="F84">
        <v>1206.03</v>
      </c>
    </row>
    <row r="85" spans="1:6" x14ac:dyDescent="0.35">
      <c r="A85" s="1">
        <v>46198</v>
      </c>
      <c r="B85" t="s">
        <v>18</v>
      </c>
      <c r="C85" t="s">
        <v>12</v>
      </c>
      <c r="D85">
        <v>0</v>
      </c>
      <c r="E85">
        <v>1.27</v>
      </c>
      <c r="F85">
        <v>0</v>
      </c>
    </row>
    <row r="86" spans="1:6" x14ac:dyDescent="0.35">
      <c r="A86" s="1">
        <v>46198</v>
      </c>
      <c r="C86" t="s">
        <v>30</v>
      </c>
      <c r="D86">
        <v>0</v>
      </c>
      <c r="E86">
        <v>700</v>
      </c>
      <c r="F86">
        <v>0</v>
      </c>
    </row>
    <row r="87" spans="1:6" x14ac:dyDescent="0.35">
      <c r="A87" s="1">
        <v>46199</v>
      </c>
      <c r="B87" t="s">
        <v>25</v>
      </c>
      <c r="C87" t="s">
        <v>12</v>
      </c>
      <c r="D87">
        <v>0</v>
      </c>
      <c r="E87">
        <v>1</v>
      </c>
      <c r="F87">
        <v>0</v>
      </c>
    </row>
    <row r="88" spans="1:6" x14ac:dyDescent="0.35">
      <c r="A88" s="1">
        <v>46199</v>
      </c>
      <c r="B88" t="s">
        <v>43</v>
      </c>
      <c r="C88" t="s">
        <v>30</v>
      </c>
      <c r="D88">
        <v>7</v>
      </c>
      <c r="E88">
        <v>518.46</v>
      </c>
      <c r="F88">
        <v>0</v>
      </c>
    </row>
    <row r="89" spans="1:6" x14ac:dyDescent="0.35">
      <c r="A89" s="1">
        <v>46199</v>
      </c>
      <c r="B89" t="s">
        <v>38</v>
      </c>
      <c r="C89" t="s">
        <v>30</v>
      </c>
      <c r="D89">
        <v>4</v>
      </c>
      <c r="E89">
        <v>799.28</v>
      </c>
      <c r="F89">
        <v>0</v>
      </c>
    </row>
    <row r="90" spans="1:6" x14ac:dyDescent="0.35">
      <c r="A90" s="1">
        <v>46202</v>
      </c>
      <c r="B90" t="s">
        <v>39</v>
      </c>
      <c r="C90" t="s">
        <v>8</v>
      </c>
      <c r="D90">
        <v>2</v>
      </c>
      <c r="E90">
        <v>822.8</v>
      </c>
      <c r="F90">
        <v>216.47</v>
      </c>
    </row>
    <row r="91" spans="1:6" x14ac:dyDescent="0.35">
      <c r="A91" s="1">
        <v>46202</v>
      </c>
      <c r="B91" t="s">
        <v>36</v>
      </c>
      <c r="C91" t="s">
        <v>8</v>
      </c>
      <c r="D91">
        <v>1</v>
      </c>
      <c r="E91">
        <v>354.75</v>
      </c>
      <c r="F91">
        <v>141.65</v>
      </c>
    </row>
    <row r="92" spans="1:6" x14ac:dyDescent="0.35">
      <c r="A92" s="1">
        <v>46203</v>
      </c>
      <c r="B92" t="s">
        <v>24</v>
      </c>
      <c r="C92" t="s">
        <v>12</v>
      </c>
      <c r="D92">
        <v>0</v>
      </c>
      <c r="E92">
        <v>1.1100000000000001</v>
      </c>
      <c r="F92">
        <v>0</v>
      </c>
    </row>
    <row r="93" spans="1:6" x14ac:dyDescent="0.35">
      <c r="A93" s="1">
        <v>46204</v>
      </c>
      <c r="B93" t="s">
        <v>44</v>
      </c>
      <c r="C93" t="s">
        <v>8</v>
      </c>
      <c r="D93">
        <v>2</v>
      </c>
      <c r="E93">
        <v>339.27</v>
      </c>
      <c r="F93">
        <v>294.94</v>
      </c>
    </row>
    <row r="94" spans="1:6" x14ac:dyDescent="0.35">
      <c r="A94" s="1">
        <v>46205</v>
      </c>
      <c r="B94" t="s">
        <v>32</v>
      </c>
      <c r="C94" t="s">
        <v>12</v>
      </c>
      <c r="D94">
        <v>0</v>
      </c>
      <c r="E94">
        <v>1.76</v>
      </c>
      <c r="F94">
        <v>0</v>
      </c>
    </row>
    <row r="95" spans="1:6" x14ac:dyDescent="0.35">
      <c r="A95" s="1">
        <v>46209</v>
      </c>
      <c r="B95" t="s">
        <v>44</v>
      </c>
      <c r="C95" t="s">
        <v>8</v>
      </c>
      <c r="D95">
        <v>2</v>
      </c>
      <c r="E95">
        <v>350.33</v>
      </c>
      <c r="F95">
        <v>294.94</v>
      </c>
    </row>
    <row r="96" spans="1:6" x14ac:dyDescent="0.35">
      <c r="A96" s="1">
        <v>46210</v>
      </c>
      <c r="B96" t="s">
        <v>14</v>
      </c>
      <c r="C96" t="s">
        <v>8</v>
      </c>
      <c r="D96">
        <v>1</v>
      </c>
      <c r="E96">
        <v>423</v>
      </c>
      <c r="F96">
        <v>101.47</v>
      </c>
    </row>
    <row r="97" spans="1:6" x14ac:dyDescent="0.35">
      <c r="A97" s="1">
        <v>46212</v>
      </c>
      <c r="B97" t="s">
        <v>44</v>
      </c>
      <c r="C97" t="s">
        <v>8</v>
      </c>
      <c r="D97">
        <v>1</v>
      </c>
      <c r="E97">
        <v>184.46</v>
      </c>
      <c r="F97">
        <v>147.47</v>
      </c>
    </row>
    <row r="98" spans="1:6" x14ac:dyDescent="0.35">
      <c r="A98" s="1">
        <v>46212</v>
      </c>
      <c r="B98" t="s">
        <v>42</v>
      </c>
      <c r="C98" t="s">
        <v>8</v>
      </c>
      <c r="D98">
        <v>1</v>
      </c>
      <c r="E98">
        <v>273.25</v>
      </c>
      <c r="F98">
        <v>180.8</v>
      </c>
    </row>
    <row r="99" spans="1:6" x14ac:dyDescent="0.35">
      <c r="A99" s="1">
        <v>46213</v>
      </c>
      <c r="B99" t="s">
        <v>4</v>
      </c>
      <c r="C99" t="s">
        <v>28</v>
      </c>
      <c r="D99">
        <v>0</v>
      </c>
      <c r="E99">
        <v>402.02</v>
      </c>
      <c r="F99">
        <v>0</v>
      </c>
    </row>
    <row r="100" spans="1:6" x14ac:dyDescent="0.35">
      <c r="A100" s="1">
        <v>46213</v>
      </c>
      <c r="B100" t="s">
        <v>4</v>
      </c>
      <c r="C100" t="s">
        <v>8</v>
      </c>
      <c r="D100">
        <v>4</v>
      </c>
      <c r="E100">
        <v>402.01</v>
      </c>
      <c r="F100">
        <v>401.71</v>
      </c>
    </row>
    <row r="101" spans="1:6" x14ac:dyDescent="0.35">
      <c r="A101" s="1">
        <v>46217</v>
      </c>
      <c r="B101" t="s">
        <v>45</v>
      </c>
      <c r="C101" t="s">
        <v>8</v>
      </c>
      <c r="D101">
        <v>1</v>
      </c>
      <c r="E101">
        <v>124.34</v>
      </c>
      <c r="F101">
        <v>190.66</v>
      </c>
    </row>
    <row r="102" spans="1:6" x14ac:dyDescent="0.35">
      <c r="A102" s="1">
        <v>46217</v>
      </c>
      <c r="B102" t="s">
        <v>14</v>
      </c>
      <c r="C102" t="s">
        <v>8</v>
      </c>
      <c r="D102">
        <v>1</v>
      </c>
      <c r="E102">
        <v>449.99</v>
      </c>
      <c r="F102">
        <v>93.09</v>
      </c>
    </row>
    <row r="103" spans="1:6" x14ac:dyDescent="0.35">
      <c r="A103" s="1">
        <v>46218</v>
      </c>
      <c r="B103" t="s">
        <v>4</v>
      </c>
      <c r="C103" t="s">
        <v>30</v>
      </c>
      <c r="D103">
        <v>0</v>
      </c>
      <c r="E103">
        <v>370</v>
      </c>
      <c r="F103">
        <v>0</v>
      </c>
    </row>
    <row r="104" spans="1:6" x14ac:dyDescent="0.35">
      <c r="A104" s="1">
        <v>46218</v>
      </c>
      <c r="B104" t="s">
        <v>4</v>
      </c>
      <c r="C104" t="s">
        <v>8</v>
      </c>
      <c r="D104">
        <v>4</v>
      </c>
      <c r="E104">
        <v>402.13</v>
      </c>
      <c r="F104">
        <v>401.73</v>
      </c>
    </row>
    <row r="105" spans="1:6" x14ac:dyDescent="0.35">
      <c r="A105" s="1">
        <v>46219</v>
      </c>
      <c r="B105" t="s">
        <v>4</v>
      </c>
      <c r="C105" t="s">
        <v>8</v>
      </c>
      <c r="D105">
        <v>1</v>
      </c>
      <c r="E105">
        <v>100.55</v>
      </c>
      <c r="F105">
        <v>100.46</v>
      </c>
    </row>
    <row r="106" spans="1:6" x14ac:dyDescent="0.35">
      <c r="A106" s="1">
        <v>46220</v>
      </c>
      <c r="B106" t="s">
        <v>4</v>
      </c>
      <c r="C106" t="s">
        <v>8</v>
      </c>
      <c r="D106">
        <v>5</v>
      </c>
      <c r="E106">
        <v>502.85</v>
      </c>
      <c r="F106">
        <v>502.26</v>
      </c>
    </row>
    <row r="107" spans="1:6" x14ac:dyDescent="0.35">
      <c r="A107" s="1">
        <v>46223</v>
      </c>
      <c r="B107" t="s">
        <v>4</v>
      </c>
      <c r="C107" t="s">
        <v>30</v>
      </c>
      <c r="D107">
        <v>5</v>
      </c>
      <c r="E107">
        <v>520</v>
      </c>
      <c r="F107">
        <v>0</v>
      </c>
    </row>
    <row r="108" spans="1:6" x14ac:dyDescent="0.35">
      <c r="A108" s="1">
        <v>46226</v>
      </c>
      <c r="B108" t="s">
        <v>40</v>
      </c>
      <c r="C108" t="s">
        <v>8</v>
      </c>
      <c r="D108">
        <v>1</v>
      </c>
      <c r="E108">
        <v>149.34</v>
      </c>
      <c r="F108">
        <v>351.98</v>
      </c>
    </row>
    <row r="109" spans="1:6" x14ac:dyDescent="0.35">
      <c r="A109" s="1">
        <v>46226</v>
      </c>
      <c r="B109" t="s">
        <v>4</v>
      </c>
      <c r="C109" t="s">
        <v>8</v>
      </c>
      <c r="D109">
        <v>2</v>
      </c>
      <c r="E109">
        <v>201.22</v>
      </c>
      <c r="F109">
        <v>200.88</v>
      </c>
    </row>
    <row r="110" spans="1:6" x14ac:dyDescent="0.35">
      <c r="A110" s="1">
        <v>46210</v>
      </c>
      <c r="B110" t="s">
        <v>4</v>
      </c>
      <c r="C110" t="s">
        <v>12</v>
      </c>
      <c r="D110">
        <v>0</v>
      </c>
      <c r="E110">
        <v>11.53</v>
      </c>
      <c r="F110">
        <v>0</v>
      </c>
    </row>
    <row r="111" spans="1:6" x14ac:dyDescent="0.35">
      <c r="A111" s="1">
        <v>46220</v>
      </c>
      <c r="B111" t="s">
        <v>46</v>
      </c>
      <c r="C111" t="s">
        <v>12</v>
      </c>
      <c r="D111">
        <v>0</v>
      </c>
      <c r="E111">
        <v>4.8</v>
      </c>
      <c r="F111">
        <v>0</v>
      </c>
    </row>
    <row r="112" spans="1:6" x14ac:dyDescent="0.35">
      <c r="A112" s="1">
        <v>46227</v>
      </c>
      <c r="B112" t="s">
        <v>13</v>
      </c>
      <c r="C112" t="s">
        <v>12</v>
      </c>
      <c r="D112">
        <v>0</v>
      </c>
      <c r="E112">
        <v>2.5</v>
      </c>
      <c r="F112">
        <v>0</v>
      </c>
    </row>
    <row r="113" spans="1:6" x14ac:dyDescent="0.35">
      <c r="A113" s="1">
        <v>46231</v>
      </c>
      <c r="B113" t="s">
        <v>4</v>
      </c>
      <c r="C113" t="s">
        <v>8</v>
      </c>
      <c r="D113">
        <v>10</v>
      </c>
      <c r="E113">
        <v>1006.53</v>
      </c>
      <c r="F113">
        <v>1004.24</v>
      </c>
    </row>
    <row r="114" spans="1:6" x14ac:dyDescent="0.35">
      <c r="A114" s="1">
        <v>46232</v>
      </c>
      <c r="B114" t="s">
        <v>35</v>
      </c>
      <c r="C114" t="s">
        <v>8</v>
      </c>
      <c r="D114">
        <v>10</v>
      </c>
      <c r="E114">
        <v>631.79</v>
      </c>
      <c r="F114">
        <v>265.14999999999998</v>
      </c>
    </row>
    <row r="115" spans="1:6" x14ac:dyDescent="0.35">
      <c r="A115" s="1">
        <v>46232</v>
      </c>
      <c r="B115" t="s">
        <v>4</v>
      </c>
      <c r="C115" t="s">
        <v>8</v>
      </c>
      <c r="D115">
        <v>5</v>
      </c>
      <c r="E115">
        <v>503.32</v>
      </c>
      <c r="F115">
        <v>502.13</v>
      </c>
    </row>
    <row r="116" spans="1:6" x14ac:dyDescent="0.35">
      <c r="A116" s="1">
        <v>46232</v>
      </c>
      <c r="B116" t="s">
        <v>18</v>
      </c>
      <c r="C116" t="s">
        <v>8</v>
      </c>
      <c r="D116">
        <v>1</v>
      </c>
      <c r="E116">
        <v>558.24</v>
      </c>
      <c r="F116">
        <v>683.81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6E0C-5192-4B37-B8C3-9BCCEBCE77C6}">
  <dimension ref="A1:F8"/>
  <sheetViews>
    <sheetView tabSelected="1" workbookViewId="0">
      <selection activeCell="F23" sqref="F23"/>
    </sheetView>
  </sheetViews>
  <sheetFormatPr defaultRowHeight="14.5" x14ac:dyDescent="0.35"/>
  <cols>
    <col min="1" max="1" width="9.453125" bestFit="1" customWidth="1"/>
    <col min="2" max="2" width="10.7265625" bestFit="1" customWidth="1"/>
    <col min="3" max="3" width="15.36328125" bestFit="1" customWidth="1"/>
    <col min="4" max="4" width="10.26953125" customWidth="1"/>
    <col min="5" max="5" width="10.6328125" customWidth="1"/>
    <col min="6" max="6" width="10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10</v>
      </c>
      <c r="E1" t="s">
        <v>9</v>
      </c>
      <c r="F1" t="s">
        <v>11</v>
      </c>
    </row>
    <row r="2" spans="1:6" x14ac:dyDescent="0.35">
      <c r="A2" s="1">
        <v>46198</v>
      </c>
      <c r="B2" t="s">
        <v>27</v>
      </c>
      <c r="C2" t="s">
        <v>28</v>
      </c>
      <c r="D2">
        <v>0</v>
      </c>
      <c r="E2">
        <v>700</v>
      </c>
      <c r="F2">
        <v>0</v>
      </c>
    </row>
    <row r="3" spans="1:6" x14ac:dyDescent="0.35">
      <c r="A3" s="1">
        <v>46199</v>
      </c>
      <c r="B3" t="s">
        <v>43</v>
      </c>
      <c r="C3" t="s">
        <v>28</v>
      </c>
      <c r="D3">
        <v>4</v>
      </c>
      <c r="E3">
        <v>799.28</v>
      </c>
      <c r="F3">
        <v>0</v>
      </c>
    </row>
    <row r="4" spans="1:6" x14ac:dyDescent="0.35">
      <c r="A4" s="1">
        <v>46199</v>
      </c>
      <c r="B4" t="s">
        <v>38</v>
      </c>
      <c r="C4" t="s">
        <v>28</v>
      </c>
      <c r="D4">
        <v>7</v>
      </c>
      <c r="E4">
        <v>518.46</v>
      </c>
      <c r="F4">
        <v>0</v>
      </c>
    </row>
    <row r="5" spans="1:6" x14ac:dyDescent="0.35">
      <c r="A5" s="1">
        <v>46211</v>
      </c>
      <c r="B5" t="s">
        <v>27</v>
      </c>
      <c r="C5" t="s">
        <v>28</v>
      </c>
      <c r="D5">
        <v>0</v>
      </c>
      <c r="E5">
        <v>485</v>
      </c>
      <c r="F5">
        <v>0</v>
      </c>
    </row>
    <row r="6" spans="1:6" x14ac:dyDescent="0.35">
      <c r="A6" s="1">
        <v>46213</v>
      </c>
      <c r="B6" t="s">
        <v>4</v>
      </c>
      <c r="C6" t="s">
        <v>30</v>
      </c>
      <c r="D6">
        <v>4</v>
      </c>
      <c r="E6">
        <v>402</v>
      </c>
      <c r="F6">
        <v>0</v>
      </c>
    </row>
    <row r="7" spans="1:6" x14ac:dyDescent="0.35">
      <c r="A7" s="1">
        <v>46218</v>
      </c>
      <c r="B7" t="s">
        <v>27</v>
      </c>
      <c r="C7" t="s">
        <v>28</v>
      </c>
      <c r="D7">
        <v>0</v>
      </c>
      <c r="E7">
        <v>370</v>
      </c>
      <c r="F7">
        <v>0</v>
      </c>
    </row>
    <row r="8" spans="1:6" x14ac:dyDescent="0.35">
      <c r="A8" s="1">
        <v>46220</v>
      </c>
      <c r="B8" t="s">
        <v>27</v>
      </c>
      <c r="C8" t="s">
        <v>28</v>
      </c>
      <c r="D8">
        <v>0</v>
      </c>
      <c r="E8">
        <v>50</v>
      </c>
      <c r="F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Arbitrage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Meyers</dc:creator>
  <cp:lastModifiedBy>Liam Meyers</cp:lastModifiedBy>
  <dcterms:created xsi:type="dcterms:W3CDTF">2015-06-05T18:17:20Z</dcterms:created>
  <dcterms:modified xsi:type="dcterms:W3CDTF">2026-08-02T05:29:30Z</dcterms:modified>
</cp:coreProperties>
</file>